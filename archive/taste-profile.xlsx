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tings" sheetId="1" state="visible" r:id="rId3"/>
    <sheet name="Directors" sheetId="2" state="visible" r:id="rId4"/>
    <sheet name="Watch next" sheetId="3" state="visible" r:id="rId5"/>
    <sheet name="Old films on trial" sheetId="4" state="visible" r:id="rId6"/>
    <sheet name="Calibration" sheetId="5" state="visible" r:id="rId7"/>
    <sheet name="Lineage" sheetId="6" state="visible" r:id="rId8"/>
    <sheet name="Cohor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<sst xmlns="http://schemas.openxmlformats.org/spreadsheetml/2006/main" count="415" uniqueCount="303">
  <si>
    <t xml:space="preserve">Scored films — 30 star ratings + 6 verbal reactions</t>
  </si>
  <si>
    <t xml:space="preserve">Film</t>
  </si>
  <si>
    <t xml:space="preserve">Year</t>
  </si>
  <si>
    <t xml:space="preserve">Director</t>
  </si>
  <si>
    <t xml:space="preserve">Score</t>
  </si>
  <si>
    <t xml:space="preserve">Reaction / note</t>
  </si>
  <si>
    <t xml:space="preserve">The Seventh Seal</t>
  </si>
  <si>
    <t xml:space="preserve">Ingmar Bergman</t>
  </si>
  <si>
    <t xml:space="preserve">5</t>
  </si>
  <si>
    <t xml:space="preserve">One of four perfect scores. 96 min, frontal about death.</t>
  </si>
  <si>
    <t xml:space="preserve">Persona</t>
  </si>
  <si>
    <t xml:space="preserve">Two faces merging — the clearest statement of the doubling pattern.</t>
  </si>
  <si>
    <t xml:space="preserve">The Odyssey</t>
  </si>
  <si>
    <t xml:space="preserve">Christopher Nolan</t>
  </si>
  <si>
    <t xml:space="preserve">Multiple theatre viewings in one week.</t>
  </si>
  <si>
    <t xml:space="preserve">Anora</t>
  </si>
  <si>
    <t xml:space="preserve">Sean Baker</t>
  </si>
  <si>
    <t xml:space="preserve">The only 5 that isn't Nolan or Bergman.</t>
  </si>
  <si>
    <t xml:space="preserve">The Prestige</t>
  </si>
  <si>
    <t xml:space="preserve">4.5</t>
  </si>
  <si>
    <t xml:space="preserve">Most-rewatched film, but not top-scored. Favourite and highest-rated differ.</t>
  </si>
  <si>
    <t xml:space="preserve">No Country for Old Men</t>
  </si>
  <si>
    <t xml:space="preserve">Coen Brothers</t>
  </si>
  <si>
    <t xml:space="preserve">Being John Malkovich</t>
  </si>
  <si>
    <t xml:space="preserve">Spike Jonze / Kaufman</t>
  </si>
  <si>
    <t xml:space="preserve">Identity as a doorway.</t>
  </si>
  <si>
    <t xml:space="preserve">Hereditary</t>
  </si>
  <si>
    <t xml:space="preserve">Ari Aster</t>
  </si>
  <si>
    <t xml:space="preserve">Highest-rated horror.</t>
  </si>
  <si>
    <t xml:space="preserve">Parasite</t>
  </si>
  <si>
    <t xml:space="preserve">Bong Joon-ho</t>
  </si>
  <si>
    <t xml:space="preserve">Prometheus</t>
  </si>
  <si>
    <t xml:space="preserve">Ridley Scott</t>
  </si>
  <si>
    <t xml:space="preserve">Rated above most prestige titles — big questions beat execution.</t>
  </si>
  <si>
    <t xml:space="preserve">Poor Things</t>
  </si>
  <si>
    <t xml:space="preserve">Yorgos Lanthimos</t>
  </si>
  <si>
    <t xml:space="preserve">Lanthimos in comic mode.</t>
  </si>
  <si>
    <t xml:space="preserve">Bugonia</t>
  </si>
  <si>
    <t xml:space="preserve">Obsession</t>
  </si>
  <si>
    <t xml:space="preserve">—</t>
  </si>
  <si>
    <t xml:space="preserve">Adaptation.</t>
  </si>
  <si>
    <t xml:space="preserve">4</t>
  </si>
  <si>
    <t xml:space="preserve">Twin brothers.</t>
  </si>
  <si>
    <t xml:space="preserve">Mad Max: Fury Road</t>
  </si>
  <si>
    <t xml:space="preserve">George Miller</t>
  </si>
  <si>
    <t xml:space="preserve">The Lighthouse</t>
  </si>
  <si>
    <t xml:space="preserve">Robert Eggers</t>
  </si>
  <si>
    <t xml:space="preserve">Midsommar</t>
  </si>
  <si>
    <t xml:space="preserve">Once Upon a Time... in Hollywood</t>
  </si>
  <si>
    <t xml:space="preserve">Quentin Tarantino</t>
  </si>
  <si>
    <t xml:space="preserve">Apostle</t>
  </si>
  <si>
    <t xml:space="preserve">Gareth Evans</t>
  </si>
  <si>
    <t xml:space="preserve">Saint Maud</t>
  </si>
  <si>
    <t xml:space="preserve">Rose Glass</t>
  </si>
  <si>
    <t xml:space="preserve">A Quiet Place</t>
  </si>
  <si>
    <t xml:space="preserve">John Krasinski</t>
  </si>
  <si>
    <t xml:space="preserve">Bad Trip</t>
  </si>
  <si>
    <t xml:space="preserve">Kitao Sakurai</t>
  </si>
  <si>
    <t xml:space="preserve">Proof the comedy streak is real, not incidental.</t>
  </si>
  <si>
    <t xml:space="preserve">The Northman</t>
  </si>
  <si>
    <t xml:space="preserve">Oppenheimer</t>
  </si>
  <si>
    <t xml:space="preserve">Together</t>
  </si>
  <si>
    <t xml:space="preserve">Michael Shanks</t>
  </si>
  <si>
    <t xml:space="preserve">Companion</t>
  </si>
  <si>
    <t xml:space="preserve">Drew Hancock</t>
  </si>
  <si>
    <t xml:space="preserve">The Drama</t>
  </si>
  <si>
    <t xml:space="preserve">Kristoffer Borgli</t>
  </si>
  <si>
    <t xml:space="preserve">Everything Everywhere All at Once</t>
  </si>
  <si>
    <t xml:space="preserve">Daniels</t>
  </si>
  <si>
    <t xml:space="preserve">3.5</t>
  </si>
  <si>
    <t xml:space="preserve">The Devil All the Time</t>
  </si>
  <si>
    <t xml:space="preserve">Antonio Campos</t>
  </si>
  <si>
    <t xml:space="preserve">The Batman</t>
  </si>
  <si>
    <t xml:space="preserve">Matt Reeves</t>
  </si>
  <si>
    <t xml:space="preserve">2.5</t>
  </si>
  <si>
    <t xml:space="preserve">Lowest score on record. Craft without an idea underneath.</t>
  </si>
  <si>
    <t xml:space="preserve">Dunkirk</t>
  </si>
  <si>
    <t xml:space="preserve">"Love Nolan, well done."</t>
  </si>
  <si>
    <t xml:space="preserve">Enemy</t>
  </si>
  <si>
    <t xml:space="preserve">Denis Villeneuve</t>
  </si>
  <si>
    <t xml:space="preserve">"Good." Predicted as a top hit on the doubling thesis; landed mild.</t>
  </si>
  <si>
    <t xml:space="preserve">The Killing of a Sacred Deer</t>
  </si>
  <si>
    <t xml:space="preserve">"Not my fav but it was ok." Lanthimos in cruel mode does less for you.</t>
  </si>
  <si>
    <t xml:space="preserve">Beau Is Afraid</t>
  </si>
  <si>
    <t xml:space="preserve">"A spectacle but once was enough." No rewatch pull.</t>
  </si>
  <si>
    <t xml:space="preserve">Eddington</t>
  </si>
  <si>
    <t xml:space="preserve">Completes Aster.</t>
  </si>
  <si>
    <t xml:space="preserve">All Tarantino features</t>
  </si>
  <si>
    <t xml:space="preserve">"Love them." Filmography complete.</t>
  </si>
  <si>
    <t xml:space="preserve">Films logged on Letterboxd</t>
  </si>
  <si>
    <t xml:space="preserve">Star ratings given</t>
  </si>
  <si>
    <t xml:space="preserve">Share of watched films rated</t>
  </si>
  <si>
    <t xml:space="preserve">Director map — the main recommendation engine</t>
  </si>
  <si>
    <t xml:space="preserve">Seen</t>
  </si>
  <si>
    <t xml:space="preserve">Status</t>
  </si>
  <si>
    <t xml:space="preserve">What's left</t>
  </si>
  <si>
    <t xml:space="preserve">all</t>
  </si>
  <si>
    <t xml:space="preserve">COMPLETE</t>
  </si>
  <si>
    <t xml:space="preserve">Nothing. Confirmed you love them.</t>
  </si>
  <si>
    <t xml:space="preserve">Nothing. Hereditary 4.5 and Midsommar 4 are the peak; Beau and Eddington did not repeat it.</t>
  </si>
  <si>
    <t xml:space="preserve">Benson &amp; Moorhead</t>
  </si>
  <si>
    <t xml:space="preserve">Nothing. Resolution, Spring, The Endless, Synchronic, Something in the Dirt.</t>
  </si>
  <si>
    <t xml:space="preserve">Nothing until the next one.</t>
  </si>
  <si>
    <t xml:space="preserve">Jordan Peele</t>
  </si>
  <si>
    <t xml:space="preserve">Nothing.</t>
  </si>
  <si>
    <t xml:space="preserve">The Safdies</t>
  </si>
  <si>
    <t xml:space="preserve">Near</t>
  </si>
  <si>
    <t xml:space="preserve">Daddy Longlegs.</t>
  </si>
  <si>
    <t xml:space="preserve">Following (1998), Insomnia (2002). Dunkirk now seen.</t>
  </si>
  <si>
    <t xml:space="preserve">Open</t>
  </si>
  <si>
    <t xml:space="preserve">Prisoners, Incendies. Enemy seen and rated only 'good'.</t>
  </si>
  <si>
    <t xml:space="preserve">Charlie Kaufman</t>
  </si>
  <si>
    <t xml:space="preserve">Anomalisa closes it out.</t>
  </si>
  <si>
    <t xml:space="preserve">The Favourite, Kinds of Kindness, Alps. Prefer his comic mode over his cruel mode.</t>
  </si>
  <si>
    <t xml:space="preserve">Inside Llewyn Davis, Barton Fink, Miller's Crossing, Blood Simple.</t>
  </si>
  <si>
    <t xml:space="preserve">David Fincher</t>
  </si>
  <si>
    <t xml:space="preserve">Se7en is the strangest gap in the whole profile. Also The Game, The Killer.</t>
  </si>
  <si>
    <t xml:space="preserve">Wide open</t>
  </si>
  <si>
    <t xml:space="preserve">Memories of Murder, Mother, The Host, Snowpiercer, Okja. Biggest unclaimed run — 2 for 2 so far.</t>
  </si>
  <si>
    <t xml:space="preserve">Park Chan-wook</t>
  </si>
  <si>
    <t xml:space="preserve">The Handmaiden, Decision to Leave, Thirst. Only Oldboy logged.</t>
  </si>
  <si>
    <t xml:space="preserve">Two films, two perfect scores. Hour of the Wolf, Wild Strawberries, Cries and Whispers.</t>
  </si>
  <si>
    <t xml:space="preserve">Paul Thomas Anderson</t>
  </si>
  <si>
    <t xml:space="preserve">There Will Be Blood, Phantom Thread, Boogie Nights. Only The Master mentioned.</t>
  </si>
  <si>
    <t xml:space="preserve">Watch next — reranked after the latest batch</t>
  </si>
  <si>
    <t xml:space="preserve">#</t>
  </si>
  <si>
    <t xml:space="preserve">Confidence</t>
  </si>
  <si>
    <t xml:space="preserve">Why</t>
  </si>
  <si>
    <t xml:space="preserve">Memories of Murder</t>
  </si>
  <si>
    <t xml:space="preserve">High</t>
  </si>
  <si>
    <t xml:space="preserve">Bong is 2 for 2. A procedural that moves, ending unresolved but meaningful.</t>
  </si>
  <si>
    <t xml:space="preserve">The Handmaiden</t>
  </si>
  <si>
    <t xml:space="preserve">Oldboy has sat alone for years. Twist architecture in the Prestige tradition.</t>
  </si>
  <si>
    <t xml:space="preserve">Prisoners</t>
  </si>
  <si>
    <t xml:space="preserve">A moral vice tightening for 2.5 hours. Closest thing to a No Country you haven't seen.</t>
  </si>
  <si>
    <t xml:space="preserve">Se7en</t>
  </si>
  <si>
    <t xml:space="preserve">Zodiac and Gone Girl are both logged. This is the obvious hole.</t>
  </si>
  <si>
    <t xml:space="preserve">There Will Be Blood</t>
  </si>
  <si>
    <t xml:space="preserve">You rate The Master highly. Same slow-collapsing lead, more narrative spine.</t>
  </si>
  <si>
    <t xml:space="preserve">Anomalisa</t>
  </si>
  <si>
    <t xml:space="preserve">Medium</t>
  </si>
  <si>
    <t xml:space="preserve">Completes Kaufman. Everyone has the same face — doubling at its endpoint.</t>
  </si>
  <si>
    <t xml:space="preserve">The Wailing</t>
  </si>
  <si>
    <t xml:space="preserve">Na Hong-jin</t>
  </si>
  <si>
    <t xml:space="preserve">Korean folk horror, genuinely frightening, genuinely about faith. Between Apostle and The Witch.</t>
  </si>
  <si>
    <t xml:space="preserve">Cache</t>
  </si>
  <si>
    <t xml:space="preserve">Michael Haneke</t>
  </si>
  <si>
    <t xml:space="preserve">Restored to the list. 117 min, cold, buried guilt. Closer to Gone Girl than to Ran.</t>
  </si>
  <si>
    <t xml:space="preserve">The Vanishing</t>
  </si>
  <si>
    <t xml:space="preserve">George Sluizer</t>
  </si>
  <si>
    <t xml:space="preserve">Restored. 107 min, tightly wound, one of the most upsetting endings in cinema.</t>
  </si>
  <si>
    <t xml:space="preserve">Inside Llewyn Davis</t>
  </si>
  <si>
    <t xml:space="preserve">The most A Serious Man-adjacent Coen — a man in a loop, punished by an indifferent universe.</t>
  </si>
  <si>
    <t xml:space="preserve">Decision to Leave</t>
  </si>
  <si>
    <t xml:space="preserve">Quieter Park. A puzzle with real feeling underneath.</t>
  </si>
  <si>
    <t xml:space="preserve">mother!</t>
  </si>
  <si>
    <t xml:space="preserve">Darren Aronofsky</t>
  </si>
  <si>
    <t xml:space="preserve">Low</t>
  </si>
  <si>
    <t xml:space="preserve">Either lands hard or annoys you. Given Beau, possibly the latter.</t>
  </si>
  <si>
    <t xml:space="preserve">Hour of the Wolf</t>
  </si>
  <si>
    <t xml:space="preserve">Test case</t>
  </si>
  <si>
    <t xml:space="preserve">Bergman doing outright horror in 90 min. If the two 5-stars weren't a fluke, this is where it shows.</t>
  </si>
  <si>
    <t xml:space="preserve">Old films — on trial, not ruled out</t>
  </si>
  <si>
    <t xml:space="preserve">Runtime</t>
  </si>
  <si>
    <t xml:space="preserve">Risk</t>
  </si>
  <si>
    <t xml:space="preserve">Note</t>
  </si>
  <si>
    <t xml:space="preserve">Verdict</t>
  </si>
  <si>
    <t xml:space="preserve">Lawrence of Arabia</t>
  </si>
  <si>
    <t xml:space="preserve">3h47</t>
  </si>
  <si>
    <t xml:space="preserve">Worth it</t>
  </si>
  <si>
    <t xml:space="preserve">You've committed to this one. It's an identity-dissolution film — the movie keeps asking Lawrence who he is and he loses the thread. Same shape as The Prestige at desert scale. Biggest screen you can find, one sitting.</t>
  </si>
  <si>
    <t xml:space="preserve">1h30</t>
  </si>
  <si>
    <t xml:space="preserve">Bergman horror. Short, blunt, no admiration required — the profile that got two perfect scores.</t>
  </si>
  <si>
    <t xml:space="preserve">After Hours</t>
  </si>
  <si>
    <t xml:space="preserve">1h37</t>
  </si>
  <si>
    <t xml:space="preserve">Old but fast and unhinged rather than stately. Scorsese in King of Comedy mode.</t>
  </si>
  <si>
    <t xml:space="preserve">Possession</t>
  </si>
  <si>
    <t xml:space="preserve">2h04</t>
  </si>
  <si>
    <t xml:space="preserve">Old, but the opposite of slow. Closer to The Substance than to anything canonical.</t>
  </si>
  <si>
    <t xml:space="preserve">Apocalypse Now</t>
  </si>
  <si>
    <t xml:space="preserve">2h27</t>
  </si>
  <si>
    <t xml:space="preserve">Genuinely about a man dissolving. But stately, and the reputation does a lot of the talking.</t>
  </si>
  <si>
    <t xml:space="preserve">Ran</t>
  </si>
  <si>
    <t xml:space="preserve">2h40</t>
  </si>
  <si>
    <t xml:space="preserve">Magnificent and almost completely static.</t>
  </si>
  <si>
    <t xml:space="preserve">Stalker</t>
  </si>
  <si>
    <t xml:space="preserve">2h41</t>
  </si>
  <si>
    <t xml:space="preserve">Highest</t>
  </si>
  <si>
    <t xml:space="preserve">Three men walking and talking. The purest version of the thing you said doesn't land. Save for last.</t>
  </si>
  <si>
    <t xml:space="preserve">Fill in the Verdict column as you go — that's what turns the age question into data.</t>
  </si>
  <si>
    <t xml:space="preserve">Calibration rules — what to reach for and what to avoid</t>
  </si>
  <si>
    <t xml:space="preserve">Type</t>
  </si>
  <si>
    <t xml:space="preserve">Signal</t>
  </si>
  <si>
    <t xml:space="preserve">Evidence</t>
  </si>
  <si>
    <t xml:space="preserve">Green light</t>
  </si>
  <si>
    <t xml:space="preserve">A director you scored 4+ still has films left</t>
  </si>
  <si>
    <t xml:space="preserve">Confirmed as deliberate behaviour. Five filmographies now finished.</t>
  </si>
  <si>
    <t xml:space="preserve">Someone splits, doubles, or loses hold of who they are</t>
  </si>
  <si>
    <t xml:space="preserve">The Prestige, Persona, Adaptation., Malkovich, The Double, The Substance, Mickey 17, Us.</t>
  </si>
  <si>
    <t xml:space="preserve">Horror with a real idea under it</t>
  </si>
  <si>
    <t xml:space="preserve">You watch bad horror too, but only rate the thoughtful kind. Hereditary 4.5, Saint Maud 4, Apostle 4.</t>
  </si>
  <si>
    <t xml:space="preserve">Comedy that's actually cruel</t>
  </si>
  <si>
    <t xml:space="preserve">The Big Lebowski, King of Comedy, Triangle of Sadness, Bad Trip 4, Poor Things 4.5, Bugonia 4.5.</t>
  </si>
  <si>
    <t xml:space="preserve">Big metaphysical swing WITH an emotional landing</t>
  </si>
  <si>
    <t xml:space="preserve">Prometheus at 4.5 over most prestige titles. This is the load-bearing one.</t>
  </si>
  <si>
    <t xml:space="preserve">Red flag</t>
  </si>
  <si>
    <t xml:space="preserve">Spectacle or cruelty with no emotional payoff</t>
  </si>
  <si>
    <t xml:space="preserve">Beau Is Afraid 'once was enough'. Sacred Deer 'ok'. Enemy only 'good'. Three misses in one batch.</t>
  </si>
  <si>
    <t xml:space="preserve">Surrealism where decoding IS the experience</t>
  </si>
  <si>
    <t xml:space="preserve">Mulholland Drive.</t>
  </si>
  <si>
    <t xml:space="preserve">Competent craft with nothing underneath</t>
  </si>
  <si>
    <t xml:space="preserve">The Batman 2.5. Bourne — respected, not enjoyed.</t>
  </si>
  <si>
    <t xml:space="preserve">Amber</t>
  </si>
  <si>
    <t xml:space="preserve">Long and stately</t>
  </si>
  <si>
    <t xml:space="preserve">Not a ban. The runtime and the performance style are the friction, not the age.</t>
  </si>
  <si>
    <t xml:space="preserve">Pre-1970</t>
  </si>
  <si>
    <t xml:space="preserve">Open to trying. Two Bergmans scored 5. Both under 100 min and psychologically blunt. Old films clear the bar when they're short and direct.</t>
  </si>
  <si>
    <t xml:space="preserve">Data gap</t>
  </si>
  <si>
    <t xml:space="preserve">Only 30 scores across 340 films</t>
  </si>
  <si>
    <t xml:space="preserve">The profile knows what you love and almost nothing about what you actively dislike. Twenty more ratings, especially negative ones, would sharpen this most.</t>
  </si>
  <si>
    <t xml:space="preserve">Non-English cinema is thin</t>
  </si>
  <si>
    <t xml:space="preserve">Parasite, Oldboy, City of God, Dogtooth, Spirited Away, Persona, The Seventh Seal. Not a dislike — unexplored. The two Koreans on Watch next are the cheapest way in.</t>
  </si>
  <si>
    <t xml:space="preserve">Five discussed films aren't logged</t>
  </si>
  <si>
    <t xml:space="preserve">The Master, Crimes and Misdemeanors, Sweeney Todd, Oddity, plus rewatches.</t>
  </si>
  <si>
    <t xml:space="preserve">Lineage — you collected the descendants and skipped the ancestors</t>
  </si>
  <si>
    <t xml:space="preserve">Line</t>
  </si>
  <si>
    <t xml:space="preserve">Ancestor (missing)</t>
  </si>
  <si>
    <t xml:space="preserve">You are here</t>
  </si>
  <si>
    <t xml:space="preserve">The gap to fill</t>
  </si>
  <si>
    <t xml:space="preserve">Why it follows</t>
  </si>
  <si>
    <t xml:space="preserve">Bergman line</t>
  </si>
  <si>
    <t xml:space="preserve">Ingmar Bergman (partly seen)</t>
  </si>
  <si>
    <t xml:space="preserve">Eggers, Aster</t>
  </si>
  <si>
    <t xml:space="preserve">Your two favourite modern horror directors both descend from the one filmmaker you gave 5 stars twice. The Lighthouse is Persona; Hereditary's grief is Cries and Whispers. Hour of the Wolf is Bergman's own horror film, 90 min.</t>
  </si>
  <si>
    <t xml:space="preserve">Cronenberg line</t>
  </si>
  <si>
    <t xml:space="preserve">David Cronenberg — ZERO logged</t>
  </si>
  <si>
    <t xml:space="preserve">Brandon Cronenberg, Fargeat</t>
  </si>
  <si>
    <t xml:space="preserve">Dead Ringers, Videodrome, The Fly</t>
  </si>
  <si>
    <t xml:space="preserve">Biggest hole in the profile. You have the son and not the father. Dead Ringers is identical twins losing track of which is which — the purest form of the pattern behind everything you rate 4.5+.</t>
  </si>
  <si>
    <t xml:space="preserve">New York sweat</t>
  </si>
  <si>
    <t xml:space="preserve">Lumet, Cassavetes</t>
  </si>
  <si>
    <t xml:space="preserve">The Safdies (4/4)</t>
  </si>
  <si>
    <t xml:space="preserve">Dog Day Afternoon</t>
  </si>
  <si>
    <t xml:space="preserve">You finished the Safdies without watching the film Good Time is built from. 125 min, one location, one day, faster than most new releases.</t>
  </si>
  <si>
    <t xml:space="preserve">Nolan's sources</t>
  </si>
  <si>
    <t xml:space="preserve">Michael Mann — ZERO logged; Nicolas Roeg</t>
  </si>
  <si>
    <t xml:space="preserve">Nolan (11 films)</t>
  </si>
  <si>
    <t xml:space="preserve">Heat, Don't Look Now</t>
  </si>
  <si>
    <t xml:space="preserve">Nolan has said Heat was the direct model for The Dark Knight and that Roeg's cutting shaped Memento. Don't Look Now doubles as a Hereditary ancestor.</t>
  </si>
  <si>
    <t xml:space="preserve">Bunuel line</t>
  </si>
  <si>
    <t xml:space="preserve">Luis Bunuel</t>
  </si>
  <si>
    <t xml:space="preserve">Lanthimos (5 films)</t>
  </si>
  <si>
    <t xml:space="preserve">Save the Green Planet! (2003)</t>
  </si>
  <si>
    <t xml:space="preserve">The Exterminating Angel is the model for Dogtooth. Separately: Bugonia, which you rated 4.5, is a remake of Save the Green Planet! and you haven't seen the original.</t>
  </si>
  <si>
    <t xml:space="preserve">Polanski line</t>
  </si>
  <si>
    <t xml:space="preserve">Rosemary's Baby (Repulsion already seen)</t>
  </si>
  <si>
    <t xml:space="preserve">Rosemary's Baby</t>
  </si>
  <si>
    <t xml:space="preserve">Hereditary uses a Rosemary's Baby structure — a family conspiracy the lead is last to understand. You already have the other apartment-trilogy film.</t>
  </si>
  <si>
    <t xml:space="preserve">Indie sci-fi</t>
  </si>
  <si>
    <t xml:space="preserve">Shane Carruth</t>
  </si>
  <si>
    <t xml:space="preserve">Benson &amp; Moorhead (5/5)</t>
  </si>
  <si>
    <t xml:space="preserve">Primer, Upstream Color</t>
  </si>
  <si>
    <t xml:space="preserve">You swept an obscure duo and skipped the two films that made their mode possible. Primer is 77 min.</t>
  </si>
  <si>
    <t xml:space="preserve">Tarkovsky line</t>
  </si>
  <si>
    <t xml:space="preserve">Andrei Tarkovsky</t>
  </si>
  <si>
    <t xml:space="preserve">Villeneuve (6 films)</t>
  </si>
  <si>
    <t xml:space="preserve">Stalker — high risk, honest reason</t>
  </si>
  <si>
    <t xml:space="preserve">Still 161 min of men walking and talking. But Villeneuve names it as why Arrival and Dune look the way they do. That's the only argument for it worth making to you.</t>
  </si>
  <si>
    <t xml:space="preserve">Cohorts — directors working the same problem at the same time</t>
  </si>
  <si>
    <t xml:space="preserve">Cohort</t>
  </si>
  <si>
    <t xml:space="preserve">Era</t>
  </si>
  <si>
    <t xml:space="preserve">You have</t>
  </si>
  <si>
    <t xml:space="preserve">Missing members</t>
  </si>
  <si>
    <t xml:space="preserve">Priority</t>
  </si>
  <si>
    <t xml:space="preserve">Post-2014 horror wave</t>
  </si>
  <si>
    <t xml:space="preserve">2014-2019 debuts</t>
  </si>
  <si>
    <t xml:space="preserve">Eggers, Aster, Peele, Rose Glass, Ti West, Jennifer Kent, David Robert Mitchell, Zach Cregger, Osgood Perkins, Fargeat, Brandon Cronenberg, Alex Garland</t>
  </si>
  <si>
    <t xml:space="preserve">Julia Ducournau (Raw, Titane) — the only major name absent. Raw is closest to The Substance.</t>
  </si>
  <si>
    <t xml:space="preserve">Korean New Wave</t>
  </si>
  <si>
    <t xml:space="preserve">1999-present</t>
  </si>
  <si>
    <t xml:space="preserve">Bong (Parasite 4.5, Mickey 17), Park (Oldboy only)</t>
  </si>
  <si>
    <t xml:space="preserve">Memories of Murder, The Handmaiden, The Wailing, I Saw the Devil (Kim Jee-woon), Burning (Lee Chang-dong)</t>
  </si>
  <si>
    <t xml:space="preserve">HIGH</t>
  </si>
  <si>
    <t xml:space="preserve">Class of 1999</t>
  </si>
  <si>
    <t xml:space="preserve">1999</t>
  </si>
  <si>
    <t xml:space="preserve">Fight Club, Being John Malkovich (4.5), The Matrix</t>
  </si>
  <si>
    <t xml:space="preserve">Magnolia — the one of the four you skipped, and the PTA closest to A Serious Man</t>
  </si>
  <si>
    <t xml:space="preserve">Norwegian discomfort</t>
  </si>
  <si>
    <t xml:space="preserve">2021-now</t>
  </si>
  <si>
    <t xml:space="preserve">The Drama (4)</t>
  </si>
  <si>
    <t xml:space="preserve">Sick of Myself, Dream Scenario — both Borgli. Easiest unclaimed win on the board.</t>
  </si>
  <si>
    <t xml:space="preserve">70s New Hollywood paranoia</t>
  </si>
  <si>
    <t xml:space="preserve">1970-1979</t>
  </si>
  <si>
    <t xml:space="preserve">Taxi Driver, Jaws</t>
  </si>
  <si>
    <t xml:space="preserve">Dog Day Afternoon, Don't Look Now, All the President's Men. Upstream of Fincher, Villeneuve, the Safdies and Nolan at once.</t>
  </si>
  <si>
    <t xml:space="preserve">Ridley Scott's line</t>
  </si>
  <si>
    <t xml:space="preserve">1979-now</t>
  </si>
  <si>
    <t xml:space="preserve">Alien, Prometheus (4.5), Alien: Covenant, Gladiator, Blade Runner 2049</t>
  </si>
  <si>
    <t xml:space="preserve">Blade Runner (1982) itself — you watched the sequel and never the original</t>
  </si>
  <si>
    <t xml:space="preserve">Greek Weird Wave</t>
  </si>
  <si>
    <t xml:space="preserve">2009-2015</t>
  </si>
  <si>
    <t xml:space="preserve">Lanthimos (Dogtooth, The Lobster)</t>
  </si>
  <si>
    <t xml:space="preserve">Athina Rachel Tsangari (Attenberg, Chevalier)</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</si>
</sst>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color rgb="FFFFFFFF"/>
      <name val="Arial"/>
      <family val="0"/>
      <charset val="1"/>
    </font>
    <font>
      <sz val="10"/>
      <name val="Arial"/>
      <family val="0"/>
      <charset val="1"/>
    </font>
    <font>
      <b val="true"/>
      <sz val="10"/>
      <name val="Arial"/>
      <family val="0"/>
      <charset val="1"/>
    </font>
    <font>
      <i val="true"/>
      <sz val="10"/>
      <name val="Arial"/>
      <family val="0"/>
      <charset val="1"/>
    </font>
  </fonts>
  <fills count="3">
    <fill>
      <patternFill patternType="none"/>
    </fill>
    <fill>
      <patternFill patternType="gray125"/>
    </fill>
    <fill>
      <patternFill patternType="solid">
        <fgColor rgb="FF333333"/>
        <bgColor rgb="FF333300"/>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22"/>
    <col collapsed="false" customWidth="true" hidden="false" outlineLevel="0" max="4" min="4" style="0" width="10"/>
    <col collapsed="false" customWidth="true" hidden="false" outlineLevel="0" max="5" min="5" style="0" width="62"/>
  </cols>
  <sheetData>
    <row r="1" customFormat="false" ht="16.15" hidden="false" customHeight="false" outlineLevel="0" collapsed="false">
      <c r="A1" s="1" t="s">
        <v>0</v>
      </c>
    </row>
    <row r="3" customFormat="false" ht="15" hidden="false" customHeight="false" outlineLevel="0" collapsed="false">
      <c r="A3" s="2" t="s">
        <v>1</v>
      </c>
      <c r="B3" s="2" t="s">
        <v>2</v>
      </c>
      <c r="C3" s="2" t="s">
        <v>3</v>
      </c>
      <c r="D3" s="2" t="s">
        <v>4</v>
      </c>
      <c r="E3" s="2" t="s">
        <v>5</v>
      </c>
    </row>
    <row r="4" customFormat="false" ht="15" hidden="false" customHeight="false" outlineLevel="0" collapsed="false">
      <c r="A4" s="3" t="s">
        <v>6</v>
      </c>
      <c r="B4" s="3" t="n">
        <v>1957</v>
      </c>
      <c r="C4" s="3" t="s">
        <v>7</v>
      </c>
      <c r="D4" s="3" t="s">
        <v>8</v>
      </c>
      <c r="E4" s="4" t="s">
        <v>9</v>
      </c>
    </row>
    <row r="5" customFormat="false" ht="15" hidden="false" customHeight="false" outlineLevel="0" collapsed="false">
      <c r="A5" s="3" t="s">
        <v>10</v>
      </c>
      <c r="B5" s="3" t="n">
        <v>1966</v>
      </c>
      <c r="C5" s="3" t="s">
        <v>7</v>
      </c>
      <c r="D5" s="3" t="s">
        <v>8</v>
      </c>
      <c r="E5" s="4" t="s">
        <v>11</v>
      </c>
    </row>
    <row r="6" customFormat="false" ht="15" hidden="false" customHeight="false" outlineLevel="0" collapsed="false">
      <c r="A6" s="3" t="s">
        <v>12</v>
      </c>
      <c r="B6" s="3" t="n">
        <v>2025</v>
      </c>
      <c r="C6" s="3" t="s">
        <v>13</v>
      </c>
      <c r="D6" s="3" t="s">
        <v>8</v>
      </c>
      <c r="E6" s="4" t="s">
        <v>14</v>
      </c>
    </row>
    <row r="7" customFormat="false" ht="15" hidden="false" customHeight="false" outlineLevel="0" collapsed="false">
      <c r="A7" s="3" t="s">
        <v>15</v>
      </c>
      <c r="B7" s="3" t="n">
        <v>2024</v>
      </c>
      <c r="C7" s="3" t="s">
        <v>16</v>
      </c>
      <c r="D7" s="3" t="s">
        <v>8</v>
      </c>
      <c r="E7" s="4" t="s">
        <v>17</v>
      </c>
    </row>
    <row r="8" customFormat="false" ht="15" hidden="false" customHeight="false" outlineLevel="0" collapsed="false">
      <c r="A8" s="3" t="s">
        <v>18</v>
      </c>
      <c r="B8" s="3" t="n">
        <v>2006</v>
      </c>
      <c r="C8" s="3" t="s">
        <v>13</v>
      </c>
      <c r="D8" s="3" t="s">
        <v>19</v>
      </c>
      <c r="E8" s="4" t="s">
        <v>20</v>
      </c>
    </row>
    <row r="9" customFormat="false" ht="15" hidden="false" customHeight="false" outlineLevel="0" collapsed="false">
      <c r="A9" s="3" t="s">
        <v>21</v>
      </c>
      <c r="B9" s="3" t="n">
        <v>2007</v>
      </c>
      <c r="C9" s="3" t="s">
        <v>22</v>
      </c>
      <c r="D9" s="3" t="s">
        <v>19</v>
      </c>
      <c r="E9" s="4"/>
    </row>
    <row r="10" customFormat="false" ht="15" hidden="false" customHeight="false" outlineLevel="0" collapsed="false">
      <c r="A10" s="3" t="s">
        <v>23</v>
      </c>
      <c r="B10" s="3" t="n">
        <v>1999</v>
      </c>
      <c r="C10" s="3" t="s">
        <v>24</v>
      </c>
      <c r="D10" s="3" t="s">
        <v>19</v>
      </c>
      <c r="E10" s="4" t="s">
        <v>25</v>
      </c>
    </row>
    <row r="11" customFormat="false" ht="15" hidden="false" customHeight="false" outlineLevel="0" collapsed="false">
      <c r="A11" s="3" t="s">
        <v>26</v>
      </c>
      <c r="B11" s="3" t="n">
        <v>2018</v>
      </c>
      <c r="C11" s="3" t="s">
        <v>27</v>
      </c>
      <c r="D11" s="3" t="s">
        <v>19</v>
      </c>
      <c r="E11" s="4" t="s">
        <v>28</v>
      </c>
    </row>
    <row r="12" customFormat="false" ht="15" hidden="false" customHeight="false" outlineLevel="0" collapsed="false">
      <c r="A12" s="3" t="s">
        <v>29</v>
      </c>
      <c r="B12" s="3" t="n">
        <v>2019</v>
      </c>
      <c r="C12" s="3" t="s">
        <v>30</v>
      </c>
      <c r="D12" s="3" t="s">
        <v>19</v>
      </c>
      <c r="E12" s="4"/>
    </row>
    <row r="13" customFormat="false" ht="15" hidden="false" customHeight="false" outlineLevel="0" collapsed="false">
      <c r="A13" s="3" t="s">
        <v>31</v>
      </c>
      <c r="B13" s="3" t="n">
        <v>2012</v>
      </c>
      <c r="C13" s="3" t="s">
        <v>32</v>
      </c>
      <c r="D13" s="3" t="s">
        <v>19</v>
      </c>
      <c r="E13" s="4" t="s">
        <v>33</v>
      </c>
    </row>
    <row r="14" customFormat="false" ht="15" hidden="false" customHeight="false" outlineLevel="0" collapsed="false">
      <c r="A14" s="3" t="s">
        <v>34</v>
      </c>
      <c r="B14" s="3" t="n">
        <v>2023</v>
      </c>
      <c r="C14" s="3" t="s">
        <v>35</v>
      </c>
      <c r="D14" s="3" t="s">
        <v>19</v>
      </c>
      <c r="E14" s="4" t="s">
        <v>36</v>
      </c>
    </row>
    <row r="15" customFormat="false" ht="15" hidden="false" customHeight="false" outlineLevel="0" collapsed="false">
      <c r="A15" s="3" t="s">
        <v>37</v>
      </c>
      <c r="B15" s="3" t="n">
        <v>2025</v>
      </c>
      <c r="C15" s="3" t="s">
        <v>35</v>
      </c>
      <c r="D15" s="3" t="s">
        <v>19</v>
      </c>
      <c r="E15" s="4" t="s">
        <v>36</v>
      </c>
    </row>
    <row r="16" customFormat="false" ht="15" hidden="false" customHeight="false" outlineLevel="0" collapsed="false">
      <c r="A16" s="3" t="s">
        <v>38</v>
      </c>
      <c r="B16" s="3" t="n">
        <v>2026</v>
      </c>
      <c r="C16" s="3" t="s">
        <v>39</v>
      </c>
      <c r="D16" s="3" t="s">
        <v>19</v>
      </c>
      <c r="E16" s="4"/>
    </row>
    <row r="17" customFormat="false" ht="15" hidden="false" customHeight="false" outlineLevel="0" collapsed="false">
      <c r="A17" s="3" t="s">
        <v>40</v>
      </c>
      <c r="B17" s="3" t="n">
        <v>2002</v>
      </c>
      <c r="C17" s="3" t="s">
        <v>24</v>
      </c>
      <c r="D17" s="3" t="s">
        <v>41</v>
      </c>
      <c r="E17" s="4" t="s">
        <v>42</v>
      </c>
    </row>
    <row r="18" customFormat="false" ht="15" hidden="false" customHeight="false" outlineLevel="0" collapsed="false">
      <c r="A18" s="3" t="s">
        <v>43</v>
      </c>
      <c r="B18" s="3" t="n">
        <v>2015</v>
      </c>
      <c r="C18" s="3" t="s">
        <v>44</v>
      </c>
      <c r="D18" s="3" t="s">
        <v>41</v>
      </c>
      <c r="E18" s="4"/>
    </row>
    <row r="19" customFormat="false" ht="15" hidden="false" customHeight="false" outlineLevel="0" collapsed="false">
      <c r="A19" s="3" t="s">
        <v>45</v>
      </c>
      <c r="B19" s="3" t="n">
        <v>2019</v>
      </c>
      <c r="C19" s="3" t="s">
        <v>46</v>
      </c>
      <c r="D19" s="3" t="s">
        <v>41</v>
      </c>
      <c r="E19" s="4"/>
    </row>
    <row r="20" customFormat="false" ht="15" hidden="false" customHeight="false" outlineLevel="0" collapsed="false">
      <c r="A20" s="3" t="s">
        <v>47</v>
      </c>
      <c r="B20" s="3" t="n">
        <v>2019</v>
      </c>
      <c r="C20" s="3" t="s">
        <v>27</v>
      </c>
      <c r="D20" s="3" t="s">
        <v>41</v>
      </c>
      <c r="E20" s="4"/>
    </row>
    <row r="21" customFormat="false" ht="15" hidden="false" customHeight="false" outlineLevel="0" collapsed="false">
      <c r="A21" s="3" t="s">
        <v>48</v>
      </c>
      <c r="B21" s="3" t="n">
        <v>2019</v>
      </c>
      <c r="C21" s="3" t="s">
        <v>49</v>
      </c>
      <c r="D21" s="3" t="s">
        <v>41</v>
      </c>
      <c r="E21" s="4"/>
    </row>
    <row r="22" customFormat="false" ht="15" hidden="false" customHeight="false" outlineLevel="0" collapsed="false">
      <c r="A22" s="3" t="s">
        <v>50</v>
      </c>
      <c r="B22" s="3" t="n">
        <v>2018</v>
      </c>
      <c r="C22" s="3" t="s">
        <v>51</v>
      </c>
      <c r="D22" s="3" t="s">
        <v>41</v>
      </c>
      <c r="E22" s="4"/>
    </row>
    <row r="23" customFormat="false" ht="15" hidden="false" customHeight="false" outlineLevel="0" collapsed="false">
      <c r="A23" s="3" t="s">
        <v>52</v>
      </c>
      <c r="B23" s="3" t="n">
        <v>2019</v>
      </c>
      <c r="C23" s="3" t="s">
        <v>53</v>
      </c>
      <c r="D23" s="3" t="s">
        <v>41</v>
      </c>
      <c r="E23" s="4"/>
    </row>
    <row r="24" customFormat="false" ht="15" hidden="false" customHeight="false" outlineLevel="0" collapsed="false">
      <c r="A24" s="3" t="s">
        <v>54</v>
      </c>
      <c r="B24" s="3" t="n">
        <v>2018</v>
      </c>
      <c r="C24" s="3" t="s">
        <v>55</v>
      </c>
      <c r="D24" s="3" t="s">
        <v>41</v>
      </c>
      <c r="E24" s="4"/>
    </row>
    <row r="25" customFormat="false" ht="15" hidden="false" customHeight="false" outlineLevel="0" collapsed="false">
      <c r="A25" s="3" t="s">
        <v>56</v>
      </c>
      <c r="B25" s="3" t="n">
        <v>2021</v>
      </c>
      <c r="C25" s="3" t="s">
        <v>57</v>
      </c>
      <c r="D25" s="3" t="s">
        <v>41</v>
      </c>
      <c r="E25" s="4" t="s">
        <v>58</v>
      </c>
    </row>
    <row r="26" customFormat="false" ht="15" hidden="false" customHeight="false" outlineLevel="0" collapsed="false">
      <c r="A26" s="3" t="s">
        <v>59</v>
      </c>
      <c r="B26" s="3" t="n">
        <v>2022</v>
      </c>
      <c r="C26" s="3" t="s">
        <v>46</v>
      </c>
      <c r="D26" s="3" t="s">
        <v>41</v>
      </c>
      <c r="E26" s="4"/>
    </row>
    <row r="27" customFormat="false" ht="15" hidden="false" customHeight="false" outlineLevel="0" collapsed="false">
      <c r="A27" s="3" t="s">
        <v>60</v>
      </c>
      <c r="B27" s="3" t="n">
        <v>2023</v>
      </c>
      <c r="C27" s="3" t="s">
        <v>13</v>
      </c>
      <c r="D27" s="3" t="s">
        <v>41</v>
      </c>
      <c r="E27" s="4"/>
    </row>
    <row r="28" customFormat="false" ht="15" hidden="false" customHeight="false" outlineLevel="0" collapsed="false">
      <c r="A28" s="3" t="s">
        <v>61</v>
      </c>
      <c r="B28" s="3" t="n">
        <v>2025</v>
      </c>
      <c r="C28" s="3" t="s">
        <v>62</v>
      </c>
      <c r="D28" s="3" t="s">
        <v>41</v>
      </c>
      <c r="E28" s="4"/>
    </row>
    <row r="29" customFormat="false" ht="15" hidden="false" customHeight="false" outlineLevel="0" collapsed="false">
      <c r="A29" s="3" t="s">
        <v>63</v>
      </c>
      <c r="B29" s="3" t="n">
        <v>2025</v>
      </c>
      <c r="C29" s="3" t="s">
        <v>64</v>
      </c>
      <c r="D29" s="3" t="s">
        <v>41</v>
      </c>
      <c r="E29" s="4"/>
    </row>
    <row r="30" customFormat="false" ht="15" hidden="false" customHeight="false" outlineLevel="0" collapsed="false">
      <c r="A30" s="3" t="s">
        <v>65</v>
      </c>
      <c r="B30" s="3" t="n">
        <v>2025</v>
      </c>
      <c r="C30" s="3" t="s">
        <v>66</v>
      </c>
      <c r="D30" s="3" t="s">
        <v>41</v>
      </c>
      <c r="E30" s="4"/>
    </row>
    <row r="31" customFormat="false" ht="15" hidden="false" customHeight="false" outlineLevel="0" collapsed="false">
      <c r="A31" s="3" t="s">
        <v>67</v>
      </c>
      <c r="B31" s="3" t="n">
        <v>2022</v>
      </c>
      <c r="C31" s="3" t="s">
        <v>68</v>
      </c>
      <c r="D31" s="3" t="s">
        <v>69</v>
      </c>
      <c r="E31" s="4"/>
    </row>
    <row r="32" customFormat="false" ht="15" hidden="false" customHeight="false" outlineLevel="0" collapsed="false">
      <c r="A32" s="3" t="s">
        <v>70</v>
      </c>
      <c r="B32" s="3" t="n">
        <v>2020</v>
      </c>
      <c r="C32" s="3" t="s">
        <v>71</v>
      </c>
      <c r="D32" s="3" t="s">
        <v>69</v>
      </c>
      <c r="E32" s="4"/>
    </row>
    <row r="33" customFormat="false" ht="15" hidden="false" customHeight="false" outlineLevel="0" collapsed="false">
      <c r="A33" s="3" t="s">
        <v>72</v>
      </c>
      <c r="B33" s="3" t="n">
        <v>2022</v>
      </c>
      <c r="C33" s="3" t="s">
        <v>73</v>
      </c>
      <c r="D33" s="3" t="s">
        <v>74</v>
      </c>
      <c r="E33" s="4" t="s">
        <v>75</v>
      </c>
    </row>
    <row r="34" customFormat="false" ht="15" hidden="false" customHeight="false" outlineLevel="0" collapsed="false">
      <c r="A34" s="3" t="s">
        <v>76</v>
      </c>
      <c r="B34" s="3" t="n">
        <v>2017</v>
      </c>
      <c r="C34" s="3" t="s">
        <v>13</v>
      </c>
      <c r="D34" s="3" t="s">
        <v>39</v>
      </c>
      <c r="E34" s="4" t="s">
        <v>77</v>
      </c>
    </row>
    <row r="35" customFormat="false" ht="15" hidden="false" customHeight="false" outlineLevel="0" collapsed="false">
      <c r="A35" s="3" t="s">
        <v>78</v>
      </c>
      <c r="B35" s="3" t="n">
        <v>2013</v>
      </c>
      <c r="C35" s="3" t="s">
        <v>79</v>
      </c>
      <c r="D35" s="3" t="s">
        <v>39</v>
      </c>
      <c r="E35" s="4" t="s">
        <v>80</v>
      </c>
    </row>
    <row r="36" customFormat="false" ht="15" hidden="false" customHeight="false" outlineLevel="0" collapsed="false">
      <c r="A36" s="3" t="s">
        <v>81</v>
      </c>
      <c r="B36" s="3" t="n">
        <v>2017</v>
      </c>
      <c r="C36" s="3" t="s">
        <v>35</v>
      </c>
      <c r="D36" s="3" t="s">
        <v>39</v>
      </c>
      <c r="E36" s="4" t="s">
        <v>82</v>
      </c>
    </row>
    <row r="37" customFormat="false" ht="15" hidden="false" customHeight="false" outlineLevel="0" collapsed="false">
      <c r="A37" s="3" t="s">
        <v>83</v>
      </c>
      <c r="B37" s="3" t="n">
        <v>2023</v>
      </c>
      <c r="C37" s="3" t="s">
        <v>27</v>
      </c>
      <c r="D37" s="3" t="s">
        <v>39</v>
      </c>
      <c r="E37" s="4" t="s">
        <v>84</v>
      </c>
    </row>
    <row r="38" customFormat="false" ht="15" hidden="false" customHeight="false" outlineLevel="0" collapsed="false">
      <c r="A38" s="3" t="s">
        <v>85</v>
      </c>
      <c r="B38" s="3" t="n">
        <v>2025</v>
      </c>
      <c r="C38" s="3" t="s">
        <v>27</v>
      </c>
      <c r="D38" s="3" t="s">
        <v>39</v>
      </c>
      <c r="E38" s="4" t="s">
        <v>86</v>
      </c>
    </row>
    <row r="39" customFormat="false" ht="15" hidden="false" customHeight="false" outlineLevel="0" collapsed="false">
      <c r="A39" s="3" t="s">
        <v>87</v>
      </c>
      <c r="B39" s="3"/>
      <c r="C39" s="3" t="s">
        <v>49</v>
      </c>
      <c r="D39" s="3" t="s">
        <v>39</v>
      </c>
      <c r="E39" s="4" t="s">
        <v>88</v>
      </c>
    </row>
    <row r="41" customFormat="false" ht="15" hidden="false" customHeight="false" outlineLevel="0" collapsed="false">
      <c r="A41" s="5" t="s">
        <v>89</v>
      </c>
      <c r="B41" s="6" t="n">
        <v>331</v>
      </c>
    </row>
    <row r="42" customFormat="false" ht="15" hidden="false" customHeight="false" outlineLevel="0" collapsed="false">
      <c r="A42" s="5" t="s">
        <v>90</v>
      </c>
      <c r="B42" s="6" t="n">
        <f aca="false">COUNTIF(D4:D39,"&gt;0")</f>
        <v>0</v>
      </c>
    </row>
    <row r="43" customFormat="false" ht="15" hidden="false" customHeight="false" outlineLevel="0" collapsed="false">
      <c r="A43" s="5" t="s">
        <v>91</v>
      </c>
      <c r="B43" s="7" t="n">
        <f aca="false">B42/B41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16"/>
    <col collapsed="false" customWidth="true" hidden="false" outlineLevel="0" max="4" min="4" style="0" width="66"/>
  </cols>
  <sheetData>
    <row r="1" customFormat="false" ht="16.15" hidden="false" customHeight="false" outlineLevel="0" collapsed="false">
      <c r="A1" s="1" t="s">
        <v>92</v>
      </c>
    </row>
    <row r="3" customFormat="false" ht="15" hidden="false" customHeight="false" outlineLevel="0" collapsed="false">
      <c r="A3" s="2" t="s">
        <v>3</v>
      </c>
      <c r="B3" s="2" t="s">
        <v>93</v>
      </c>
      <c r="C3" s="2" t="s">
        <v>94</v>
      </c>
      <c r="D3" s="2" t="s">
        <v>95</v>
      </c>
    </row>
    <row r="4" customFormat="false" ht="15" hidden="false" customHeight="false" outlineLevel="0" collapsed="false">
      <c r="A4" s="3" t="s">
        <v>49</v>
      </c>
      <c r="B4" s="3" t="s">
        <v>96</v>
      </c>
      <c r="C4" s="3" t="s">
        <v>97</v>
      </c>
      <c r="D4" s="4" t="s">
        <v>98</v>
      </c>
    </row>
    <row r="5" customFormat="false" ht="23.85" hidden="false" customHeight="false" outlineLevel="0" collapsed="false">
      <c r="A5" s="3" t="s">
        <v>27</v>
      </c>
      <c r="B5" s="3" t="n">
        <v>4</v>
      </c>
      <c r="C5" s="3" t="s">
        <v>97</v>
      </c>
      <c r="D5" s="4" t="s">
        <v>99</v>
      </c>
    </row>
    <row r="6" customFormat="false" ht="15" hidden="false" customHeight="false" outlineLevel="0" collapsed="false">
      <c r="A6" s="3" t="s">
        <v>100</v>
      </c>
      <c r="B6" s="3" t="n">
        <v>5</v>
      </c>
      <c r="C6" s="3" t="s">
        <v>97</v>
      </c>
      <c r="D6" s="4" t="s">
        <v>101</v>
      </c>
    </row>
    <row r="7" customFormat="false" ht="15" hidden="false" customHeight="false" outlineLevel="0" collapsed="false">
      <c r="A7" s="3" t="s">
        <v>46</v>
      </c>
      <c r="B7" s="3" t="n">
        <v>4</v>
      </c>
      <c r="C7" s="3" t="s">
        <v>97</v>
      </c>
      <c r="D7" s="4" t="s">
        <v>102</v>
      </c>
    </row>
    <row r="8" customFormat="false" ht="15" hidden="false" customHeight="false" outlineLevel="0" collapsed="false">
      <c r="A8" s="3" t="s">
        <v>103</v>
      </c>
      <c r="B8" s="3" t="n">
        <v>3</v>
      </c>
      <c r="C8" s="3" t="s">
        <v>97</v>
      </c>
      <c r="D8" s="4" t="s">
        <v>104</v>
      </c>
    </row>
    <row r="9" customFormat="false" ht="15" hidden="false" customHeight="false" outlineLevel="0" collapsed="false">
      <c r="A9" s="3" t="s">
        <v>105</v>
      </c>
      <c r="B9" s="3" t="n">
        <v>4</v>
      </c>
      <c r="C9" s="3" t="s">
        <v>106</v>
      </c>
      <c r="D9" s="4" t="s">
        <v>107</v>
      </c>
    </row>
    <row r="10" customFormat="false" ht="15" hidden="false" customHeight="false" outlineLevel="0" collapsed="false">
      <c r="A10" s="3" t="s">
        <v>13</v>
      </c>
      <c r="B10" s="3" t="n">
        <v>11</v>
      </c>
      <c r="C10" s="3" t="s">
        <v>106</v>
      </c>
      <c r="D10" s="4" t="s">
        <v>108</v>
      </c>
    </row>
    <row r="11" customFormat="false" ht="15" hidden="false" customHeight="false" outlineLevel="0" collapsed="false">
      <c r="A11" s="3" t="s">
        <v>79</v>
      </c>
      <c r="B11" s="3" t="n">
        <v>6</v>
      </c>
      <c r="C11" s="3" t="s">
        <v>109</v>
      </c>
      <c r="D11" s="4" t="s">
        <v>110</v>
      </c>
    </row>
    <row r="12" customFormat="false" ht="15" hidden="false" customHeight="false" outlineLevel="0" collapsed="false">
      <c r="A12" s="3" t="s">
        <v>111</v>
      </c>
      <c r="B12" s="3" t="n">
        <v>5</v>
      </c>
      <c r="C12" s="3" t="s">
        <v>109</v>
      </c>
      <c r="D12" s="4" t="s">
        <v>112</v>
      </c>
    </row>
    <row r="13" customFormat="false" ht="23.85" hidden="false" customHeight="false" outlineLevel="0" collapsed="false">
      <c r="A13" s="3" t="s">
        <v>35</v>
      </c>
      <c r="B13" s="3" t="n">
        <v>5</v>
      </c>
      <c r="C13" s="3" t="s">
        <v>109</v>
      </c>
      <c r="D13" s="4" t="s">
        <v>113</v>
      </c>
    </row>
    <row r="14" customFormat="false" ht="15" hidden="false" customHeight="false" outlineLevel="0" collapsed="false">
      <c r="A14" s="3" t="s">
        <v>22</v>
      </c>
      <c r="B14" s="3" t="n">
        <v>8</v>
      </c>
      <c r="C14" s="3" t="s">
        <v>109</v>
      </c>
      <c r="D14" s="4" t="s">
        <v>114</v>
      </c>
    </row>
    <row r="15" customFormat="false" ht="15" hidden="false" customHeight="false" outlineLevel="0" collapsed="false">
      <c r="A15" s="3" t="s">
        <v>115</v>
      </c>
      <c r="B15" s="3" t="n">
        <v>4</v>
      </c>
      <c r="C15" s="3" t="s">
        <v>109</v>
      </c>
      <c r="D15" s="4" t="s">
        <v>116</v>
      </c>
    </row>
    <row r="16" customFormat="false" ht="23.85" hidden="false" customHeight="false" outlineLevel="0" collapsed="false">
      <c r="A16" s="3" t="s">
        <v>30</v>
      </c>
      <c r="B16" s="3" t="n">
        <v>2</v>
      </c>
      <c r="C16" s="3" t="s">
        <v>117</v>
      </c>
      <c r="D16" s="4" t="s">
        <v>118</v>
      </c>
    </row>
    <row r="17" customFormat="false" ht="15" hidden="false" customHeight="false" outlineLevel="0" collapsed="false">
      <c r="A17" s="3" t="s">
        <v>119</v>
      </c>
      <c r="B17" s="3" t="n">
        <v>1</v>
      </c>
      <c r="C17" s="3" t="s">
        <v>117</v>
      </c>
      <c r="D17" s="4" t="s">
        <v>120</v>
      </c>
    </row>
    <row r="18" customFormat="false" ht="23.85" hidden="false" customHeight="false" outlineLevel="0" collapsed="false">
      <c r="A18" s="3" t="s">
        <v>7</v>
      </c>
      <c r="B18" s="3" t="n">
        <v>2</v>
      </c>
      <c r="C18" s="3" t="s">
        <v>117</v>
      </c>
      <c r="D18" s="4" t="s">
        <v>121</v>
      </c>
    </row>
    <row r="19" customFormat="false" ht="23.85" hidden="false" customHeight="false" outlineLevel="0" collapsed="false">
      <c r="A19" s="3" t="s">
        <v>122</v>
      </c>
      <c r="B19" s="3" t="n">
        <v>1</v>
      </c>
      <c r="C19" s="3" t="s">
        <v>117</v>
      </c>
      <c r="D19" s="4"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8"/>
    <col collapsed="false" customWidth="true" hidden="false" outlineLevel="0" max="4" min="4" style="0" width="20"/>
    <col collapsed="false" customWidth="true" hidden="false" outlineLevel="0" max="5" min="5" style="0" width="13"/>
    <col collapsed="false" customWidth="true" hidden="false" outlineLevel="0" max="6" min="6" style="0" width="62"/>
  </cols>
  <sheetData>
    <row r="1" customFormat="false" ht="16.15" hidden="false" customHeight="false" outlineLevel="0" collapsed="false">
      <c r="A1" s="1" t="s">
        <v>124</v>
      </c>
    </row>
    <row r="3" customFormat="false" ht="15" hidden="false" customHeight="false" outlineLevel="0" collapsed="false">
      <c r="A3" s="2" t="s">
        <v>125</v>
      </c>
      <c r="B3" s="2" t="s">
        <v>1</v>
      </c>
      <c r="C3" s="2" t="s">
        <v>2</v>
      </c>
      <c r="D3" s="2" t="s">
        <v>3</v>
      </c>
      <c r="E3" s="2" t="s">
        <v>126</v>
      </c>
      <c r="F3" s="2" t="s">
        <v>127</v>
      </c>
    </row>
    <row r="4" customFormat="false" ht="15" hidden="false" customHeight="false" outlineLevel="0" collapsed="false">
      <c r="A4" s="3" t="n">
        <v>1</v>
      </c>
      <c r="B4" s="3" t="s">
        <v>128</v>
      </c>
      <c r="C4" s="3" t="n">
        <v>2003</v>
      </c>
      <c r="D4" s="3" t="s">
        <v>30</v>
      </c>
      <c r="E4" s="3" t="s">
        <v>129</v>
      </c>
      <c r="F4" s="4" t="s">
        <v>130</v>
      </c>
    </row>
    <row r="5" customFormat="false" ht="15" hidden="false" customHeight="false" outlineLevel="0" collapsed="false">
      <c r="A5" s="3" t="n">
        <v>2</v>
      </c>
      <c r="B5" s="3" t="s">
        <v>131</v>
      </c>
      <c r="C5" s="3" t="n">
        <v>2016</v>
      </c>
      <c r="D5" s="3" t="s">
        <v>119</v>
      </c>
      <c r="E5" s="3" t="s">
        <v>129</v>
      </c>
      <c r="F5" s="4" t="s">
        <v>132</v>
      </c>
    </row>
    <row r="6" customFormat="false" ht="23.85" hidden="false" customHeight="false" outlineLevel="0" collapsed="false">
      <c r="A6" s="3" t="n">
        <v>3</v>
      </c>
      <c r="B6" s="3" t="s">
        <v>133</v>
      </c>
      <c r="C6" s="3" t="n">
        <v>2013</v>
      </c>
      <c r="D6" s="3" t="s">
        <v>79</v>
      </c>
      <c r="E6" s="3" t="s">
        <v>129</v>
      </c>
      <c r="F6" s="4" t="s">
        <v>134</v>
      </c>
    </row>
    <row r="7" customFormat="false" ht="15" hidden="false" customHeight="false" outlineLevel="0" collapsed="false">
      <c r="A7" s="3" t="n">
        <v>4</v>
      </c>
      <c r="B7" s="3" t="s">
        <v>135</v>
      </c>
      <c r="C7" s="3" t="n">
        <v>1995</v>
      </c>
      <c r="D7" s="3" t="s">
        <v>115</v>
      </c>
      <c r="E7" s="3" t="s">
        <v>129</v>
      </c>
      <c r="F7" s="4" t="s">
        <v>136</v>
      </c>
    </row>
    <row r="8" customFormat="false" ht="23.85" hidden="false" customHeight="false" outlineLevel="0" collapsed="false">
      <c r="A8" s="3" t="n">
        <v>5</v>
      </c>
      <c r="B8" s="3" t="s">
        <v>137</v>
      </c>
      <c r="C8" s="3" t="n">
        <v>2007</v>
      </c>
      <c r="D8" s="3" t="s">
        <v>122</v>
      </c>
      <c r="E8" s="3" t="s">
        <v>129</v>
      </c>
      <c r="F8" s="4" t="s">
        <v>138</v>
      </c>
    </row>
    <row r="9" customFormat="false" ht="23.85" hidden="false" customHeight="false" outlineLevel="0" collapsed="false">
      <c r="A9" s="3" t="n">
        <v>6</v>
      </c>
      <c r="B9" s="3" t="s">
        <v>139</v>
      </c>
      <c r="C9" s="3" t="n">
        <v>2015</v>
      </c>
      <c r="D9" s="3" t="s">
        <v>111</v>
      </c>
      <c r="E9" s="3" t="s">
        <v>140</v>
      </c>
      <c r="F9" s="4" t="s">
        <v>141</v>
      </c>
    </row>
    <row r="10" customFormat="false" ht="23.85" hidden="false" customHeight="false" outlineLevel="0" collapsed="false">
      <c r="A10" s="3" t="n">
        <v>7</v>
      </c>
      <c r="B10" s="3" t="s">
        <v>142</v>
      </c>
      <c r="C10" s="3" t="n">
        <v>2016</v>
      </c>
      <c r="D10" s="3" t="s">
        <v>143</v>
      </c>
      <c r="E10" s="3" t="s">
        <v>140</v>
      </c>
      <c r="F10" s="4" t="s">
        <v>144</v>
      </c>
    </row>
    <row r="11" customFormat="false" ht="23.85" hidden="false" customHeight="false" outlineLevel="0" collapsed="false">
      <c r="A11" s="3" t="n">
        <v>8</v>
      </c>
      <c r="B11" s="3" t="s">
        <v>145</v>
      </c>
      <c r="C11" s="3" t="n">
        <v>2005</v>
      </c>
      <c r="D11" s="3" t="s">
        <v>146</v>
      </c>
      <c r="E11" s="3" t="s">
        <v>140</v>
      </c>
      <c r="F11" s="4" t="s">
        <v>147</v>
      </c>
    </row>
    <row r="12" customFormat="false" ht="23.85" hidden="false" customHeight="false" outlineLevel="0" collapsed="false">
      <c r="A12" s="3" t="n">
        <v>9</v>
      </c>
      <c r="B12" s="3" t="s">
        <v>148</v>
      </c>
      <c r="C12" s="3" t="n">
        <v>1988</v>
      </c>
      <c r="D12" s="3" t="s">
        <v>149</v>
      </c>
      <c r="E12" s="3" t="s">
        <v>140</v>
      </c>
      <c r="F12" s="4" t="s">
        <v>150</v>
      </c>
    </row>
    <row r="13" customFormat="false" ht="23.85" hidden="false" customHeight="false" outlineLevel="0" collapsed="false">
      <c r="A13" s="3" t="n">
        <v>10</v>
      </c>
      <c r="B13" s="3" t="s">
        <v>151</v>
      </c>
      <c r="C13" s="3" t="n">
        <v>2013</v>
      </c>
      <c r="D13" s="3" t="s">
        <v>22</v>
      </c>
      <c r="E13" s="3" t="s">
        <v>140</v>
      </c>
      <c r="F13" s="4" t="s">
        <v>152</v>
      </c>
    </row>
    <row r="14" customFormat="false" ht="15" hidden="false" customHeight="false" outlineLevel="0" collapsed="false">
      <c r="A14" s="3" t="n">
        <v>11</v>
      </c>
      <c r="B14" s="3" t="s">
        <v>153</v>
      </c>
      <c r="C14" s="3" t="n">
        <v>2022</v>
      </c>
      <c r="D14" s="3" t="s">
        <v>119</v>
      </c>
      <c r="E14" s="3" t="s">
        <v>140</v>
      </c>
      <c r="F14" s="4" t="s">
        <v>154</v>
      </c>
    </row>
    <row r="15" customFormat="false" ht="15" hidden="false" customHeight="false" outlineLevel="0" collapsed="false">
      <c r="A15" s="3" t="n">
        <v>12</v>
      </c>
      <c r="B15" s="3" t="s">
        <v>155</v>
      </c>
      <c r="C15" s="3" t="n">
        <v>2017</v>
      </c>
      <c r="D15" s="3" t="s">
        <v>156</v>
      </c>
      <c r="E15" s="3" t="s">
        <v>157</v>
      </c>
      <c r="F15" s="4" t="s">
        <v>158</v>
      </c>
    </row>
    <row r="16" customFormat="false" ht="23.85" hidden="false" customHeight="false" outlineLevel="0" collapsed="false">
      <c r="A16" s="3" t="n">
        <v>13</v>
      </c>
      <c r="B16" s="3" t="s">
        <v>159</v>
      </c>
      <c r="C16" s="3" t="n">
        <v>1968</v>
      </c>
      <c r="D16" s="3" t="s">
        <v>7</v>
      </c>
      <c r="E16" s="3" t="s">
        <v>160</v>
      </c>
      <c r="F16" s="4" t="s">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10"/>
    <col collapsed="false" customWidth="true" hidden="false" outlineLevel="0" max="4" min="4" style="0" width="12"/>
    <col collapsed="false" customWidth="true" hidden="false" outlineLevel="0" max="5" min="5" style="0" width="58"/>
    <col collapsed="false" customWidth="true" hidden="false" outlineLevel="0" max="6" min="6" style="0" width="22"/>
  </cols>
  <sheetData>
    <row r="1" customFormat="false" ht="16.15" hidden="false" customHeight="false" outlineLevel="0" collapsed="false">
      <c r="A1" s="1" t="s">
        <v>162</v>
      </c>
    </row>
    <row r="3" customFormat="false" ht="15" hidden="false" customHeight="false" outlineLevel="0" collapsed="false">
      <c r="A3" s="2" t="s">
        <v>1</v>
      </c>
      <c r="B3" s="2" t="s">
        <v>2</v>
      </c>
      <c r="C3" s="2" t="s">
        <v>163</v>
      </c>
      <c r="D3" s="2" t="s">
        <v>164</v>
      </c>
      <c r="E3" s="2" t="s">
        <v>165</v>
      </c>
      <c r="F3" s="2" t="s">
        <v>166</v>
      </c>
    </row>
    <row r="4" customFormat="false" ht="46.25" hidden="false" customHeight="false" outlineLevel="0" collapsed="false">
      <c r="A4" s="3" t="s">
        <v>167</v>
      </c>
      <c r="B4" s="3" t="n">
        <v>1962</v>
      </c>
      <c r="C4" s="3" t="s">
        <v>168</v>
      </c>
      <c r="D4" s="3" t="s">
        <v>169</v>
      </c>
      <c r="E4" s="4" t="s">
        <v>170</v>
      </c>
      <c r="F4" s="3"/>
    </row>
    <row r="5" customFormat="false" ht="23.85" hidden="false" customHeight="false" outlineLevel="0" collapsed="false">
      <c r="A5" s="3" t="s">
        <v>159</v>
      </c>
      <c r="B5" s="3" t="n">
        <v>1968</v>
      </c>
      <c r="C5" s="3" t="s">
        <v>171</v>
      </c>
      <c r="D5" s="3" t="s">
        <v>157</v>
      </c>
      <c r="E5" s="4" t="s">
        <v>172</v>
      </c>
      <c r="F5" s="3"/>
    </row>
    <row r="6" customFormat="false" ht="23.85" hidden="false" customHeight="false" outlineLevel="0" collapsed="false">
      <c r="A6" s="3" t="s">
        <v>173</v>
      </c>
      <c r="B6" s="3" t="n">
        <v>1985</v>
      </c>
      <c r="C6" s="3" t="s">
        <v>174</v>
      </c>
      <c r="D6" s="3" t="s">
        <v>157</v>
      </c>
      <c r="E6" s="4" t="s">
        <v>175</v>
      </c>
      <c r="F6" s="3"/>
    </row>
    <row r="7" customFormat="false" ht="23.85" hidden="false" customHeight="false" outlineLevel="0" collapsed="false">
      <c r="A7" s="3" t="s">
        <v>176</v>
      </c>
      <c r="B7" s="3" t="n">
        <v>1981</v>
      </c>
      <c r="C7" s="3" t="s">
        <v>177</v>
      </c>
      <c r="D7" s="3" t="s">
        <v>140</v>
      </c>
      <c r="E7" s="4" t="s">
        <v>178</v>
      </c>
      <c r="F7" s="3"/>
    </row>
    <row r="8" customFormat="false" ht="23.85" hidden="false" customHeight="false" outlineLevel="0" collapsed="false">
      <c r="A8" s="3" t="s">
        <v>179</v>
      </c>
      <c r="B8" s="3" t="n">
        <v>1979</v>
      </c>
      <c r="C8" s="3" t="s">
        <v>180</v>
      </c>
      <c r="D8" s="3" t="s">
        <v>140</v>
      </c>
      <c r="E8" s="4" t="s">
        <v>181</v>
      </c>
      <c r="F8" s="3"/>
    </row>
    <row r="9" customFormat="false" ht="15" hidden="false" customHeight="false" outlineLevel="0" collapsed="false">
      <c r="A9" s="3" t="s">
        <v>182</v>
      </c>
      <c r="B9" s="3" t="n">
        <v>1985</v>
      </c>
      <c r="C9" s="3" t="s">
        <v>183</v>
      </c>
      <c r="D9" s="3" t="s">
        <v>129</v>
      </c>
      <c r="E9" s="4" t="s">
        <v>184</v>
      </c>
      <c r="F9" s="3"/>
    </row>
    <row r="10" customFormat="false" ht="23.85" hidden="false" customHeight="false" outlineLevel="0" collapsed="false">
      <c r="A10" s="3" t="s">
        <v>185</v>
      </c>
      <c r="B10" s="3" t="n">
        <v>1979</v>
      </c>
      <c r="C10" s="3" t="s">
        <v>186</v>
      </c>
      <c r="D10" s="3" t="s">
        <v>187</v>
      </c>
      <c r="E10" s="4" t="s">
        <v>188</v>
      </c>
      <c r="F10" s="3"/>
    </row>
    <row r="12" customFormat="false" ht="15" hidden="false" customHeight="false" outlineLevel="0" collapsed="false">
      <c r="A12" s="8"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66"/>
  </cols>
  <sheetData>
    <row r="1" customFormat="false" ht="16.15" hidden="false" customHeight="false" outlineLevel="0" collapsed="false">
      <c r="A1" s="1" t="s">
        <v>190</v>
      </c>
    </row>
    <row r="3" customFormat="false" ht="15" hidden="false" customHeight="false" outlineLevel="0" collapsed="false">
      <c r="A3" s="2" t="s">
        <v>191</v>
      </c>
      <c r="B3" s="2" t="s">
        <v>192</v>
      </c>
      <c r="C3" s="2" t="s">
        <v>193</v>
      </c>
    </row>
    <row r="4" customFormat="false" ht="15" hidden="false" customHeight="false" outlineLevel="0" collapsed="false">
      <c r="A4" s="3" t="s">
        <v>194</v>
      </c>
      <c r="B4" s="3" t="s">
        <v>195</v>
      </c>
      <c r="C4" s="4" t="s">
        <v>196</v>
      </c>
    </row>
    <row r="5" customFormat="false" ht="23.85" hidden="false" customHeight="false" outlineLevel="0" collapsed="false">
      <c r="A5" s="3" t="s">
        <v>194</v>
      </c>
      <c r="B5" s="3" t="s">
        <v>197</v>
      </c>
      <c r="C5" s="4" t="s">
        <v>198</v>
      </c>
    </row>
    <row r="6" customFormat="false" ht="23.85" hidden="false" customHeight="false" outlineLevel="0" collapsed="false">
      <c r="A6" s="3" t="s">
        <v>194</v>
      </c>
      <c r="B6" s="3" t="s">
        <v>199</v>
      </c>
      <c r="C6" s="4" t="s">
        <v>200</v>
      </c>
    </row>
    <row r="7" customFormat="false" ht="23.85" hidden="false" customHeight="false" outlineLevel="0" collapsed="false">
      <c r="A7" s="3" t="s">
        <v>194</v>
      </c>
      <c r="B7" s="3" t="s">
        <v>201</v>
      </c>
      <c r="C7" s="4" t="s">
        <v>202</v>
      </c>
    </row>
    <row r="8" customFormat="false" ht="15" hidden="false" customHeight="false" outlineLevel="0" collapsed="false">
      <c r="A8" s="3" t="s">
        <v>194</v>
      </c>
      <c r="B8" s="3" t="s">
        <v>203</v>
      </c>
      <c r="C8" s="4" t="s">
        <v>204</v>
      </c>
    </row>
    <row r="9" customFormat="false" ht="23.85" hidden="false" customHeight="false" outlineLevel="0" collapsed="false">
      <c r="A9" s="3" t="s">
        <v>205</v>
      </c>
      <c r="B9" s="3" t="s">
        <v>206</v>
      </c>
      <c r="C9" s="4" t="s">
        <v>207</v>
      </c>
    </row>
    <row r="10" customFormat="false" ht="15" hidden="false" customHeight="false" outlineLevel="0" collapsed="false">
      <c r="A10" s="3" t="s">
        <v>205</v>
      </c>
      <c r="B10" s="3" t="s">
        <v>208</v>
      </c>
      <c r="C10" s="4" t="s">
        <v>209</v>
      </c>
    </row>
    <row r="11" customFormat="false" ht="15" hidden="false" customHeight="false" outlineLevel="0" collapsed="false">
      <c r="A11" s="3" t="s">
        <v>205</v>
      </c>
      <c r="B11" s="3" t="s">
        <v>210</v>
      </c>
      <c r="C11" s="4" t="s">
        <v>211</v>
      </c>
    </row>
    <row r="12" customFormat="false" ht="15" hidden="false" customHeight="false" outlineLevel="0" collapsed="false">
      <c r="A12" s="3" t="s">
        <v>212</v>
      </c>
      <c r="B12" s="3" t="s">
        <v>213</v>
      </c>
      <c r="C12" s="4" t="s">
        <v>214</v>
      </c>
    </row>
    <row r="13" customFormat="false" ht="23.85" hidden="false" customHeight="false" outlineLevel="0" collapsed="false">
      <c r="A13" s="3" t="s">
        <v>212</v>
      </c>
      <c r="B13" s="3" t="s">
        <v>215</v>
      </c>
      <c r="C13" s="4" t="s">
        <v>216</v>
      </c>
    </row>
    <row r="14" customFormat="false" ht="23.85" hidden="false" customHeight="false" outlineLevel="0" collapsed="false">
      <c r="A14" s="3" t="s">
        <v>217</v>
      </c>
      <c r="B14" s="3" t="s">
        <v>218</v>
      </c>
      <c r="C14" s="4" t="s">
        <v>219</v>
      </c>
    </row>
    <row r="15" customFormat="false" ht="35.05" hidden="false" customHeight="false" outlineLevel="0" collapsed="false">
      <c r="A15" s="3" t="s">
        <v>217</v>
      </c>
      <c r="B15" s="3" t="s">
        <v>220</v>
      </c>
      <c r="C15" s="4" t="s">
        <v>221</v>
      </c>
    </row>
    <row r="16" customFormat="false" ht="15" hidden="false" customHeight="false" outlineLevel="0" collapsed="false">
      <c r="A16" s="3" t="s">
        <v>217</v>
      </c>
      <c r="B16" s="3" t="s">
        <v>222</v>
      </c>
      <c r="C16" s="4"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32"/>
    <col collapsed="false" customWidth="true" hidden="false" outlineLevel="0" max="4" min="4" style="0" width="26"/>
    <col collapsed="false" customWidth="true" hidden="false" outlineLevel="0" max="5" min="5" style="0" width="58"/>
  </cols>
  <sheetData>
    <row r="1" customFormat="false" ht="16.15" hidden="false" customHeight="false" outlineLevel="0" collapsed="false">
      <c r="A1" s="1" t="s">
        <v>224</v>
      </c>
    </row>
    <row r="3" customFormat="false" ht="15" hidden="false" customHeight="false" outlineLevel="0" collapsed="false">
      <c r="A3" s="2" t="s">
        <v>225</v>
      </c>
      <c r="B3" s="2" t="s">
        <v>226</v>
      </c>
      <c r="C3" s="2" t="s">
        <v>227</v>
      </c>
      <c r="D3" s="2" t="s">
        <v>228</v>
      </c>
      <c r="E3" s="2" t="s">
        <v>229</v>
      </c>
    </row>
    <row r="4" customFormat="false" ht="46.25" hidden="false" customHeight="false" outlineLevel="0" collapsed="false">
      <c r="A4" s="3" t="s">
        <v>230</v>
      </c>
      <c r="B4" s="4" t="s">
        <v>231</v>
      </c>
      <c r="C4" s="4" t="s">
        <v>232</v>
      </c>
      <c r="D4" s="4" t="s">
        <v>159</v>
      </c>
      <c r="E4" s="4" t="s">
        <v>233</v>
      </c>
    </row>
    <row r="5" customFormat="false" ht="35.05" hidden="false" customHeight="false" outlineLevel="0" collapsed="false">
      <c r="A5" s="3" t="s">
        <v>234</v>
      </c>
      <c r="B5" s="4" t="s">
        <v>235</v>
      </c>
      <c r="C5" s="4" t="s">
        <v>236</v>
      </c>
      <c r="D5" s="4" t="s">
        <v>237</v>
      </c>
      <c r="E5" s="4" t="s">
        <v>238</v>
      </c>
    </row>
    <row r="6" customFormat="false" ht="23.85" hidden="false" customHeight="false" outlineLevel="0" collapsed="false">
      <c r="A6" s="3" t="s">
        <v>239</v>
      </c>
      <c r="B6" s="4" t="s">
        <v>240</v>
      </c>
      <c r="C6" s="4" t="s">
        <v>241</v>
      </c>
      <c r="D6" s="4" t="s">
        <v>242</v>
      </c>
      <c r="E6" s="4" t="s">
        <v>243</v>
      </c>
    </row>
    <row r="7" customFormat="false" ht="35.05" hidden="false" customHeight="false" outlineLevel="0" collapsed="false">
      <c r="A7" s="3" t="s">
        <v>244</v>
      </c>
      <c r="B7" s="4" t="s">
        <v>245</v>
      </c>
      <c r="C7" s="4" t="s">
        <v>246</v>
      </c>
      <c r="D7" s="4" t="s">
        <v>247</v>
      </c>
      <c r="E7" s="4" t="s">
        <v>248</v>
      </c>
    </row>
    <row r="8" customFormat="false" ht="35.05" hidden="false" customHeight="false" outlineLevel="0" collapsed="false">
      <c r="A8" s="3" t="s">
        <v>249</v>
      </c>
      <c r="B8" s="4" t="s">
        <v>250</v>
      </c>
      <c r="C8" s="4" t="s">
        <v>251</v>
      </c>
      <c r="D8" s="4" t="s">
        <v>252</v>
      </c>
      <c r="E8" s="4" t="s">
        <v>253</v>
      </c>
    </row>
    <row r="9" customFormat="false" ht="35.05" hidden="false" customHeight="false" outlineLevel="0" collapsed="false">
      <c r="A9" s="3" t="s">
        <v>254</v>
      </c>
      <c r="B9" s="4" t="s">
        <v>255</v>
      </c>
      <c r="C9" s="4" t="s">
        <v>27</v>
      </c>
      <c r="D9" s="4" t="s">
        <v>256</v>
      </c>
      <c r="E9" s="4" t="s">
        <v>257</v>
      </c>
    </row>
    <row r="10" customFormat="false" ht="23.85" hidden="false" customHeight="false" outlineLevel="0" collapsed="false">
      <c r="A10" s="3" t="s">
        <v>258</v>
      </c>
      <c r="B10" s="4" t="s">
        <v>259</v>
      </c>
      <c r="C10" s="4" t="s">
        <v>260</v>
      </c>
      <c r="D10" s="4" t="s">
        <v>261</v>
      </c>
      <c r="E10" s="4" t="s">
        <v>262</v>
      </c>
    </row>
    <row r="11" customFormat="false" ht="35.05" hidden="false" customHeight="false" outlineLevel="0" collapsed="false">
      <c r="A11" s="3" t="s">
        <v>263</v>
      </c>
      <c r="B11" s="4" t="s">
        <v>264</v>
      </c>
      <c r="C11" s="4" t="s">
        <v>265</v>
      </c>
      <c r="D11" s="4" t="s">
        <v>266</v>
      </c>
      <c r="E11" s="4"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4" min="3" style="0" width="46"/>
    <col collapsed="false" customWidth="true" hidden="false" outlineLevel="0" max="5" min="5" style="0" width="12"/>
  </cols>
  <sheetData>
    <row r="1" customFormat="false" ht="16.15" hidden="false" customHeight="false" outlineLevel="0" collapsed="false">
      <c r="A1" s="1" t="s">
        <v>268</v>
      </c>
    </row>
    <row r="3" customFormat="false" ht="15" hidden="false" customHeight="false" outlineLevel="0" collapsed="false">
      <c r="A3" s="2" t="s">
        <v>269</v>
      </c>
      <c r="B3" s="2" t="s">
        <v>270</v>
      </c>
      <c r="C3" s="2" t="s">
        <v>271</v>
      </c>
      <c r="D3" s="2" t="s">
        <v>272</v>
      </c>
      <c r="E3" s="2" t="s">
        <v>273</v>
      </c>
    </row>
    <row r="4" customFormat="false" ht="35.05" hidden="false" customHeight="false" outlineLevel="0" collapsed="false">
      <c r="A4" s="3" t="s">
        <v>274</v>
      </c>
      <c r="B4" s="3" t="s">
        <v>275</v>
      </c>
      <c r="C4" s="4" t="s">
        <v>276</v>
      </c>
      <c r="D4" s="4" t="s">
        <v>277</v>
      </c>
      <c r="E4" s="3" t="s">
        <v>140</v>
      </c>
    </row>
    <row r="5" customFormat="false" ht="35.05" hidden="false" customHeight="false" outlineLevel="0" collapsed="false">
      <c r="A5" s="3" t="s">
        <v>278</v>
      </c>
      <c r="B5" s="3" t="s">
        <v>279</v>
      </c>
      <c r="C5" s="4" t="s">
        <v>280</v>
      </c>
      <c r="D5" s="4" t="s">
        <v>281</v>
      </c>
      <c r="E5" s="3" t="s">
        <v>282</v>
      </c>
    </row>
    <row r="6" customFormat="false" ht="23.85" hidden="false" customHeight="false" outlineLevel="0" collapsed="false">
      <c r="A6" s="3" t="s">
        <v>283</v>
      </c>
      <c r="B6" s="3" t="s">
        <v>284</v>
      </c>
      <c r="C6" s="4" t="s">
        <v>285</v>
      </c>
      <c r="D6" s="4" t="s">
        <v>286</v>
      </c>
      <c r="E6" s="3" t="s">
        <v>140</v>
      </c>
    </row>
    <row r="7" customFormat="false" ht="23.85" hidden="false" customHeight="false" outlineLevel="0" collapsed="false">
      <c r="A7" s="3" t="s">
        <v>287</v>
      </c>
      <c r="B7" s="3" t="s">
        <v>288</v>
      </c>
      <c r="C7" s="4" t="s">
        <v>289</v>
      </c>
      <c r="D7" s="4" t="s">
        <v>290</v>
      </c>
      <c r="E7" s="3" t="s">
        <v>282</v>
      </c>
    </row>
    <row r="8" customFormat="false" ht="35.05" hidden="false" customHeight="false" outlineLevel="0" collapsed="false">
      <c r="A8" s="3" t="s">
        <v>291</v>
      </c>
      <c r="B8" s="3" t="s">
        <v>292</v>
      </c>
      <c r="C8" s="4" t="s">
        <v>293</v>
      </c>
      <c r="D8" s="4" t="s">
        <v>294</v>
      </c>
      <c r="E8" s="3" t="s">
        <v>282</v>
      </c>
    </row>
    <row r="9" customFormat="false" ht="23.85" hidden="false" customHeight="false" outlineLevel="0" collapsed="false">
      <c r="A9" s="3" t="s">
        <v>295</v>
      </c>
      <c r="B9" s="3" t="s">
        <v>296</v>
      </c>
      <c r="C9" s="4" t="s">
        <v>297</v>
      </c>
      <c r="D9" s="4" t="s">
        <v>298</v>
      </c>
      <c r="E9" s="3" t="s">
        <v>140</v>
      </c>
    </row>
    <row r="10" customFormat="false" ht="15" hidden="false" customHeight="false" outlineLevel="0" collapsed="false">
      <c r="A10" s="3" t="s">
        <v>299</v>
      </c>
      <c r="B10" s="3" t="s">
        <v>300</v>
      </c>
      <c r="C10" s="4" t="s">
        <v>301</v>
      </c>
      <c r="D10" s="4" t="s">
        <v>302</v>
      </c>
      <c r="E10" s="3"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2026-07-23T07:26:50Z</dcterms:created>
  <dc:creator>openpyxl</dc:creator>
  <dc:description/>
  <dc:language>en-US</dc:language>
  <cp:lastModifiedBy/>
  <dcterms:modified xsi:type="dcterms:W3CDTF">2026-07-23T07:26:50Z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